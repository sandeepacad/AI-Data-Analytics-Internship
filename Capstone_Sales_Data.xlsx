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<sst xmlns="http://schemas.openxmlformats.org/spreadsheetml/2006/main" count="209" uniqueCount="38">
  <si>
    <t xml:space="preserve">Product Name</t>
  </si>
  <si>
    <t xml:space="preserve">Category</t>
  </si>
  <si>
    <t xml:space="preserve">Month</t>
  </si>
  <si>
    <t xml:space="preserve">Units Sold</t>
  </si>
  <si>
    <t xml:space="preserve">Revenue</t>
  </si>
  <si>
    <t xml:space="preserve">Region</t>
  </si>
  <si>
    <t xml:space="preserve">Wireless Earbuds</t>
  </si>
  <si>
    <t xml:space="preserve">Electronics</t>
  </si>
  <si>
    <t xml:space="preserve">Jan</t>
  </si>
  <si>
    <t xml:space="preserve">East</t>
  </si>
  <si>
    <t xml:space="preserve">Smart Watch</t>
  </si>
  <si>
    <t xml:space="preserve">West</t>
  </si>
  <si>
    <t xml:space="preserve">Yoga Mat</t>
  </si>
  <si>
    <t xml:space="preserve">Fitness</t>
  </si>
  <si>
    <t xml:space="preserve">Dumbbell Set</t>
  </si>
  <si>
    <t xml:space="preserve">North</t>
  </si>
  <si>
    <t xml:space="preserve">Table Lamp</t>
  </si>
  <si>
    <t xml:space="preserve">Home</t>
  </si>
  <si>
    <t xml:space="preserve">South</t>
  </si>
  <si>
    <t xml:space="preserve">Coffee Maker</t>
  </si>
  <si>
    <t xml:space="preserve">Backpack</t>
  </si>
  <si>
    <t xml:space="preserve">Fashion</t>
  </si>
  <si>
    <t xml:space="preserve">Sneakers</t>
  </si>
  <si>
    <t xml:space="preserve">Feb</t>
  </si>
  <si>
    <t xml:space="preserve">Mar</t>
  </si>
  <si>
    <t xml:space="preserve">Apr</t>
  </si>
  <si>
    <t xml:space="preserve">May</t>
  </si>
  <si>
    <t xml:space="preserve">Revenue by Product</t>
  </si>
  <si>
    <t xml:space="preserve">Best performers (formulas)</t>
  </si>
  <si>
    <t xml:space="preserve">Total Revenue</t>
  </si>
  <si>
    <t xml:space="preserve">Total Units</t>
  </si>
  <si>
    <t xml:space="preserve">Top product</t>
  </si>
  <si>
    <t xml:space="preserve">Top category</t>
  </si>
  <si>
    <t xml:space="preserve">Top month</t>
  </si>
  <si>
    <t xml:space="preserve">Top region</t>
  </si>
  <si>
    <t xml:space="preserve">Revenue by Category</t>
  </si>
  <si>
    <t xml:space="preserve">Revenue by Month</t>
  </si>
  <si>
    <t xml:space="preserve">Revenue by Region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</si>
</sst>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Analysis!$A$14:$A$17</c:f>
              <c:strCache>
                <c:ptCount val="4"/>
                <c:pt idx="0">
                  <c:v>Electronics</c:v>
                </c:pt>
                <c:pt idx="1">
                  <c:v>Fitness</c:v>
                </c:pt>
                <c:pt idx="2">
                  <c:v>Home</c:v>
                </c:pt>
                <c:pt idx="3">
                  <c:v>Fashion</c:v>
                </c:pt>
              </c:strCache>
            </c:strRef>
          </c:cat>
          <c:val>
            <c:numRef>
              <c:f>Analysis!$B$14:$B$17</c:f>
              <c:numCache>
                <c:formatCode>#,##0</c:formatCode>
                <c:ptCount val="4"/>
                <c:pt idx="0">
                  <c:v>33135</c:v>
                </c:pt>
                <c:pt idx="1">
                  <c:v>15620</c:v>
                </c:pt>
                <c:pt idx="2">
                  <c:v>20880</c:v>
                </c:pt>
                <c:pt idx="3">
                  <c:v>24040</c:v>
                </c:pt>
              </c:numCache>
            </c:numRef>
          </c:val>
        </c:ser>
        <c:gapWidth val="150"/>
        <c:overlap val="0"/>
        <c:axId val="61737192"/>
        <c:axId val="69360542"/>
      </c:barChart>
      <c:catAx>
        <c:axId val="61737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360542"/>
        <c:crosses val="autoZero"/>
        <c:auto val="1"/>
        <c:lblAlgn val="ctr"/>
        <c:lblOffset val="100"/>
        <c:noMultiLvlLbl val="0"/>
      </c:catAx>
      <c:valAx>
        <c:axId val="69360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371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Analysis!B20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Analysis!$B$21:$B$25</c:f>
              <c:numCache>
                <c:formatCode>#,##0</c:formatCode>
                <c:ptCount val="5"/>
                <c:pt idx="0">
                  <c:v>21340</c:v>
                </c:pt>
                <c:pt idx="1">
                  <c:v>18675</c:v>
                </c:pt>
                <c:pt idx="2">
                  <c:v>19555</c:v>
                </c:pt>
                <c:pt idx="3">
                  <c:v>16705</c:v>
                </c:pt>
                <c:pt idx="4">
                  <c:v>17400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905904"/>
        <c:axId val="99995805"/>
      </c:lineChart>
      <c:catAx>
        <c:axId val="2190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95805"/>
        <c:crosses val="autoZero"/>
        <c:auto val="1"/>
        <c:lblAlgn val="ctr"/>
        <c:lblOffset val="100"/>
        <c:noMultiLvlLbl val="0"/>
      </c:catAx>
      <c:valAx>
        <c:axId val="99995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059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147600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6884640" y="19044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15</xdr:col>
      <xdr:colOff>147600</xdr:colOff>
      <xdr:row>32</xdr:row>
      <xdr:rowOff>32760</xdr:rowOff>
    </xdr:to>
    <xdr:graphicFrame>
      <xdr:nvGraphicFramePr>
        <xdr:cNvPr id="1" name="Chart 2"/>
        <xdr:cNvGraphicFramePr/>
      </xdr:nvGraphicFramePr>
      <xdr:xfrm>
        <a:off x="6884640" y="3429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75</v>
      </c>
      <c r="E2" s="3" t="n">
        <v>3375</v>
      </c>
      <c r="F2" s="2" t="s">
        <v>9</v>
      </c>
    </row>
    <row r="3" customFormat="false" ht="15" hidden="false" customHeight="false" outlineLevel="0" collapsed="false">
      <c r="A3" s="2" t="s">
        <v>10</v>
      </c>
      <c r="B3" s="2" t="s">
        <v>7</v>
      </c>
      <c r="C3" s="2" t="s">
        <v>8</v>
      </c>
      <c r="D3" s="2" t="n">
        <v>45</v>
      </c>
      <c r="E3" s="3" t="n">
        <v>5400</v>
      </c>
      <c r="F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8</v>
      </c>
      <c r="D4" s="2" t="n">
        <v>47</v>
      </c>
      <c r="E4" s="3" t="n">
        <v>1175</v>
      </c>
      <c r="F4" s="2" t="s">
        <v>11</v>
      </c>
    </row>
    <row r="5" customFormat="false" ht="15" hidden="false" customHeight="false" outlineLevel="0" collapsed="false">
      <c r="A5" s="2" t="s">
        <v>14</v>
      </c>
      <c r="B5" s="2" t="s">
        <v>13</v>
      </c>
      <c r="C5" s="2" t="s">
        <v>8</v>
      </c>
      <c r="D5" s="2" t="n">
        <v>38</v>
      </c>
      <c r="E5" s="3" t="n">
        <v>2280</v>
      </c>
      <c r="F5" s="2" t="s">
        <v>15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8</v>
      </c>
      <c r="D6" s="2" t="n">
        <v>25</v>
      </c>
      <c r="E6" s="3" t="n">
        <v>750</v>
      </c>
      <c r="F6" s="2" t="s">
        <v>18</v>
      </c>
    </row>
    <row r="7" customFormat="false" ht="15" hidden="false" customHeight="false" outlineLevel="0" collapsed="false">
      <c r="A7" s="2" t="s">
        <v>19</v>
      </c>
      <c r="B7" s="2" t="s">
        <v>17</v>
      </c>
      <c r="C7" s="2" t="s">
        <v>8</v>
      </c>
      <c r="D7" s="2" t="n">
        <v>34</v>
      </c>
      <c r="E7" s="3" t="n">
        <v>2720</v>
      </c>
      <c r="F7" s="2" t="s">
        <v>11</v>
      </c>
    </row>
    <row r="8" customFormat="false" ht="15" hidden="false" customHeight="false" outlineLevel="0" collapsed="false">
      <c r="A8" s="2" t="s">
        <v>20</v>
      </c>
      <c r="B8" s="2" t="s">
        <v>21</v>
      </c>
      <c r="C8" s="2" t="s">
        <v>8</v>
      </c>
      <c r="D8" s="2" t="n">
        <v>57</v>
      </c>
      <c r="E8" s="3" t="n">
        <v>2280</v>
      </c>
      <c r="F8" s="2" t="s">
        <v>15</v>
      </c>
    </row>
    <row r="9" customFormat="false" ht="15" hidden="false" customHeight="false" outlineLevel="0" collapsed="false">
      <c r="A9" s="2" t="s">
        <v>22</v>
      </c>
      <c r="B9" s="2" t="s">
        <v>21</v>
      </c>
      <c r="C9" s="2" t="s">
        <v>8</v>
      </c>
      <c r="D9" s="2" t="n">
        <v>48</v>
      </c>
      <c r="E9" s="3" t="n">
        <v>3360</v>
      </c>
      <c r="F9" s="2" t="s">
        <v>11</v>
      </c>
    </row>
    <row r="10" customFormat="false" ht="15" hidden="false" customHeight="false" outlineLevel="0" collapsed="false">
      <c r="A10" s="2" t="s">
        <v>6</v>
      </c>
      <c r="B10" s="2" t="s">
        <v>7</v>
      </c>
      <c r="C10" s="2" t="s">
        <v>23</v>
      </c>
      <c r="D10" s="2" t="n">
        <v>41</v>
      </c>
      <c r="E10" s="3" t="n">
        <v>1845</v>
      </c>
      <c r="F10" s="2" t="s">
        <v>11</v>
      </c>
    </row>
    <row r="11" customFormat="false" ht="15" hidden="false" customHeight="false" outlineLevel="0" collapsed="false">
      <c r="A11" s="2" t="s">
        <v>10</v>
      </c>
      <c r="B11" s="2" t="s">
        <v>7</v>
      </c>
      <c r="C11" s="2" t="s">
        <v>23</v>
      </c>
      <c r="D11" s="2" t="n">
        <v>29</v>
      </c>
      <c r="E11" s="3" t="n">
        <v>3480</v>
      </c>
      <c r="F11" s="2" t="s">
        <v>18</v>
      </c>
    </row>
    <row r="12" customFormat="false" ht="15" hidden="false" customHeight="false" outlineLevel="0" collapsed="false">
      <c r="A12" s="2" t="s">
        <v>12</v>
      </c>
      <c r="B12" s="2" t="s">
        <v>13</v>
      </c>
      <c r="C12" s="2" t="s">
        <v>23</v>
      </c>
      <c r="D12" s="2" t="n">
        <v>52</v>
      </c>
      <c r="E12" s="3" t="n">
        <v>1300</v>
      </c>
      <c r="F12" s="2" t="s">
        <v>18</v>
      </c>
    </row>
    <row r="13" customFormat="false" ht="15" hidden="false" customHeight="false" outlineLevel="0" collapsed="false">
      <c r="A13" s="2" t="s">
        <v>14</v>
      </c>
      <c r="B13" s="2" t="s">
        <v>13</v>
      </c>
      <c r="C13" s="2" t="s">
        <v>23</v>
      </c>
      <c r="D13" s="2" t="n">
        <v>27</v>
      </c>
      <c r="E13" s="3" t="n">
        <v>1620</v>
      </c>
      <c r="F13" s="2" t="s">
        <v>18</v>
      </c>
    </row>
    <row r="14" customFormat="false" ht="15" hidden="false" customHeight="false" outlineLevel="0" collapsed="false">
      <c r="A14" s="2" t="s">
        <v>16</v>
      </c>
      <c r="B14" s="2" t="s">
        <v>17</v>
      </c>
      <c r="C14" s="2" t="s">
        <v>23</v>
      </c>
      <c r="D14" s="2" t="n">
        <v>39</v>
      </c>
      <c r="E14" s="3" t="n">
        <v>1170</v>
      </c>
      <c r="F14" s="2" t="s">
        <v>18</v>
      </c>
    </row>
    <row r="15" customFormat="false" ht="15" hidden="false" customHeight="false" outlineLevel="0" collapsed="false">
      <c r="A15" s="2" t="s">
        <v>19</v>
      </c>
      <c r="B15" s="2" t="s">
        <v>17</v>
      </c>
      <c r="C15" s="2" t="s">
        <v>23</v>
      </c>
      <c r="D15" s="2" t="n">
        <v>51</v>
      </c>
      <c r="E15" s="3" t="n">
        <v>4080</v>
      </c>
      <c r="F15" s="2" t="s">
        <v>18</v>
      </c>
    </row>
    <row r="16" customFormat="false" ht="15" hidden="false" customHeight="false" outlineLevel="0" collapsed="false">
      <c r="A16" s="2" t="s">
        <v>20</v>
      </c>
      <c r="B16" s="2" t="s">
        <v>21</v>
      </c>
      <c r="C16" s="2" t="s">
        <v>23</v>
      </c>
      <c r="D16" s="2" t="n">
        <v>42</v>
      </c>
      <c r="E16" s="3" t="n">
        <v>1680</v>
      </c>
      <c r="F16" s="2" t="s">
        <v>9</v>
      </c>
    </row>
    <row r="17" customFormat="false" ht="15" hidden="false" customHeight="false" outlineLevel="0" collapsed="false">
      <c r="A17" s="2" t="s">
        <v>22</v>
      </c>
      <c r="B17" s="2" t="s">
        <v>21</v>
      </c>
      <c r="C17" s="2" t="s">
        <v>23</v>
      </c>
      <c r="D17" s="2" t="n">
        <v>50</v>
      </c>
      <c r="E17" s="3" t="n">
        <v>3500</v>
      </c>
      <c r="F17" s="2" t="s">
        <v>9</v>
      </c>
    </row>
    <row r="18" customFormat="false" ht="15" hidden="false" customHeight="false" outlineLevel="0" collapsed="false">
      <c r="A18" s="2" t="s">
        <v>6</v>
      </c>
      <c r="B18" s="2" t="s">
        <v>7</v>
      </c>
      <c r="C18" s="2" t="s">
        <v>24</v>
      </c>
      <c r="D18" s="2" t="n">
        <v>54</v>
      </c>
      <c r="E18" s="3" t="n">
        <v>2430</v>
      </c>
      <c r="F18" s="2" t="s">
        <v>11</v>
      </c>
    </row>
    <row r="19" customFormat="false" ht="15" hidden="false" customHeight="false" outlineLevel="0" collapsed="false">
      <c r="A19" s="2" t="s">
        <v>10</v>
      </c>
      <c r="B19" s="2" t="s">
        <v>7</v>
      </c>
      <c r="C19" s="2" t="s">
        <v>24</v>
      </c>
      <c r="D19" s="2" t="n">
        <v>45</v>
      </c>
      <c r="E19" s="3" t="n">
        <v>5400</v>
      </c>
      <c r="F19" s="2" t="s">
        <v>11</v>
      </c>
    </row>
    <row r="20" customFormat="false" ht="15" hidden="false" customHeight="false" outlineLevel="0" collapsed="false">
      <c r="A20" s="2" t="s">
        <v>12</v>
      </c>
      <c r="B20" s="2" t="s">
        <v>13</v>
      </c>
      <c r="C20" s="2" t="s">
        <v>24</v>
      </c>
      <c r="D20" s="2" t="n">
        <v>47</v>
      </c>
      <c r="E20" s="3" t="n">
        <v>1175</v>
      </c>
      <c r="F20" s="2" t="s">
        <v>9</v>
      </c>
    </row>
    <row r="21" customFormat="false" ht="15" hidden="false" customHeight="false" outlineLevel="0" collapsed="false">
      <c r="A21" s="2" t="s">
        <v>14</v>
      </c>
      <c r="B21" s="2" t="s">
        <v>13</v>
      </c>
      <c r="C21" s="2" t="s">
        <v>24</v>
      </c>
      <c r="D21" s="2" t="n">
        <v>26</v>
      </c>
      <c r="E21" s="3" t="n">
        <v>1560</v>
      </c>
      <c r="F21" s="2" t="s">
        <v>11</v>
      </c>
    </row>
    <row r="22" customFormat="false" ht="15" hidden="false" customHeight="false" outlineLevel="0" collapsed="false">
      <c r="A22" s="2" t="s">
        <v>16</v>
      </c>
      <c r="B22" s="2" t="s">
        <v>17</v>
      </c>
      <c r="C22" s="2" t="s">
        <v>24</v>
      </c>
      <c r="D22" s="2" t="n">
        <v>32</v>
      </c>
      <c r="E22" s="3" t="n">
        <v>960</v>
      </c>
      <c r="F22" s="2" t="s">
        <v>15</v>
      </c>
    </row>
    <row r="23" customFormat="false" ht="15" hidden="false" customHeight="false" outlineLevel="0" collapsed="false">
      <c r="A23" s="2" t="s">
        <v>19</v>
      </c>
      <c r="B23" s="2" t="s">
        <v>17</v>
      </c>
      <c r="C23" s="2" t="s">
        <v>24</v>
      </c>
      <c r="D23" s="2" t="n">
        <v>46</v>
      </c>
      <c r="E23" s="3" t="n">
        <v>3680</v>
      </c>
      <c r="F23" s="2" t="s">
        <v>15</v>
      </c>
    </row>
    <row r="24" customFormat="false" ht="15" hidden="false" customHeight="false" outlineLevel="0" collapsed="false">
      <c r="A24" s="2" t="s">
        <v>20</v>
      </c>
      <c r="B24" s="2" t="s">
        <v>21</v>
      </c>
      <c r="C24" s="2" t="s">
        <v>24</v>
      </c>
      <c r="D24" s="2" t="n">
        <v>51</v>
      </c>
      <c r="E24" s="3" t="n">
        <v>2040</v>
      </c>
      <c r="F24" s="2" t="s">
        <v>9</v>
      </c>
    </row>
    <row r="25" customFormat="false" ht="15" hidden="false" customHeight="false" outlineLevel="0" collapsed="false">
      <c r="A25" s="2" t="s">
        <v>22</v>
      </c>
      <c r="B25" s="2" t="s">
        <v>21</v>
      </c>
      <c r="C25" s="2" t="s">
        <v>24</v>
      </c>
      <c r="D25" s="2" t="n">
        <v>33</v>
      </c>
      <c r="E25" s="3" t="n">
        <v>2310</v>
      </c>
      <c r="F25" s="2" t="s">
        <v>15</v>
      </c>
    </row>
    <row r="26" customFormat="false" ht="15" hidden="false" customHeight="false" outlineLevel="0" collapsed="false">
      <c r="A26" s="2" t="s">
        <v>6</v>
      </c>
      <c r="B26" s="2" t="s">
        <v>7</v>
      </c>
      <c r="C26" s="2" t="s">
        <v>25</v>
      </c>
      <c r="D26" s="2" t="n">
        <v>49</v>
      </c>
      <c r="E26" s="3" t="n">
        <v>2205</v>
      </c>
      <c r="F26" s="2" t="s">
        <v>15</v>
      </c>
    </row>
    <row r="27" customFormat="false" ht="15" hidden="false" customHeight="false" outlineLevel="0" collapsed="false">
      <c r="A27" s="2" t="s">
        <v>10</v>
      </c>
      <c r="B27" s="2" t="s">
        <v>7</v>
      </c>
      <c r="C27" s="2" t="s">
        <v>25</v>
      </c>
      <c r="D27" s="2" t="n">
        <v>27</v>
      </c>
      <c r="E27" s="3" t="n">
        <v>3240</v>
      </c>
      <c r="F27" s="2" t="s">
        <v>9</v>
      </c>
    </row>
    <row r="28" customFormat="false" ht="15" hidden="false" customHeight="false" outlineLevel="0" collapsed="false">
      <c r="A28" s="2" t="s">
        <v>12</v>
      </c>
      <c r="B28" s="2" t="s">
        <v>13</v>
      </c>
      <c r="C28" s="2" t="s">
        <v>25</v>
      </c>
      <c r="D28" s="2" t="n">
        <v>52</v>
      </c>
      <c r="E28" s="3" t="n">
        <v>1300</v>
      </c>
      <c r="F28" s="2" t="s">
        <v>18</v>
      </c>
    </row>
    <row r="29" customFormat="false" ht="15" hidden="false" customHeight="false" outlineLevel="0" collapsed="false">
      <c r="A29" s="2" t="s">
        <v>14</v>
      </c>
      <c r="B29" s="2" t="s">
        <v>13</v>
      </c>
      <c r="C29" s="2" t="s">
        <v>25</v>
      </c>
      <c r="D29" s="2" t="n">
        <v>33</v>
      </c>
      <c r="E29" s="3" t="n">
        <v>1980</v>
      </c>
      <c r="F29" s="2" t="s">
        <v>11</v>
      </c>
    </row>
    <row r="30" customFormat="false" ht="15" hidden="false" customHeight="false" outlineLevel="0" collapsed="false">
      <c r="A30" s="2" t="s">
        <v>16</v>
      </c>
      <c r="B30" s="2" t="s">
        <v>17</v>
      </c>
      <c r="C30" s="2" t="s">
        <v>25</v>
      </c>
      <c r="D30" s="2" t="n">
        <v>38</v>
      </c>
      <c r="E30" s="3" t="n">
        <v>1140</v>
      </c>
      <c r="F30" s="2" t="s">
        <v>9</v>
      </c>
    </row>
    <row r="31" customFormat="false" ht="15" hidden="false" customHeight="false" outlineLevel="0" collapsed="false">
      <c r="A31" s="2" t="s">
        <v>19</v>
      </c>
      <c r="B31" s="2" t="s">
        <v>17</v>
      </c>
      <c r="C31" s="2" t="s">
        <v>25</v>
      </c>
      <c r="D31" s="2" t="n">
        <v>34</v>
      </c>
      <c r="E31" s="3" t="n">
        <v>2720</v>
      </c>
      <c r="F31" s="2" t="s">
        <v>9</v>
      </c>
    </row>
    <row r="32" customFormat="false" ht="15" hidden="false" customHeight="false" outlineLevel="0" collapsed="false">
      <c r="A32" s="2" t="s">
        <v>20</v>
      </c>
      <c r="B32" s="2" t="s">
        <v>21</v>
      </c>
      <c r="C32" s="2" t="s">
        <v>25</v>
      </c>
      <c r="D32" s="2" t="n">
        <v>33</v>
      </c>
      <c r="E32" s="3" t="n">
        <v>1320</v>
      </c>
      <c r="F32" s="2" t="s">
        <v>18</v>
      </c>
    </row>
    <row r="33" customFormat="false" ht="15" hidden="false" customHeight="false" outlineLevel="0" collapsed="false">
      <c r="A33" s="2" t="s">
        <v>22</v>
      </c>
      <c r="B33" s="2" t="s">
        <v>21</v>
      </c>
      <c r="C33" s="2" t="s">
        <v>25</v>
      </c>
      <c r="D33" s="2" t="n">
        <v>40</v>
      </c>
      <c r="E33" s="3" t="n">
        <v>2800</v>
      </c>
      <c r="F33" s="2" t="s">
        <v>15</v>
      </c>
    </row>
    <row r="34" customFormat="false" ht="15" hidden="false" customHeight="false" outlineLevel="0" collapsed="false">
      <c r="A34" s="2" t="s">
        <v>6</v>
      </c>
      <c r="B34" s="2" t="s">
        <v>7</v>
      </c>
      <c r="C34" s="2" t="s">
        <v>26</v>
      </c>
      <c r="D34" s="2" t="n">
        <v>64</v>
      </c>
      <c r="E34" s="3" t="n">
        <v>2880</v>
      </c>
      <c r="F34" s="2" t="s">
        <v>15</v>
      </c>
    </row>
    <row r="35" customFormat="false" ht="15" hidden="false" customHeight="false" outlineLevel="0" collapsed="false">
      <c r="A35" s="2" t="s">
        <v>10</v>
      </c>
      <c r="B35" s="2" t="s">
        <v>7</v>
      </c>
      <c r="C35" s="2" t="s">
        <v>26</v>
      </c>
      <c r="D35" s="2" t="n">
        <v>24</v>
      </c>
      <c r="E35" s="3" t="n">
        <v>2880</v>
      </c>
      <c r="F35" s="2" t="s">
        <v>15</v>
      </c>
    </row>
    <row r="36" customFormat="false" ht="15" hidden="false" customHeight="false" outlineLevel="0" collapsed="false">
      <c r="A36" s="2" t="s">
        <v>12</v>
      </c>
      <c r="B36" s="2" t="s">
        <v>13</v>
      </c>
      <c r="C36" s="2" t="s">
        <v>26</v>
      </c>
      <c r="D36" s="2" t="n">
        <v>50</v>
      </c>
      <c r="E36" s="3" t="n">
        <v>1250</v>
      </c>
      <c r="F36" s="2" t="s">
        <v>9</v>
      </c>
    </row>
    <row r="37" customFormat="false" ht="15" hidden="false" customHeight="false" outlineLevel="0" collapsed="false">
      <c r="A37" s="2" t="s">
        <v>14</v>
      </c>
      <c r="B37" s="2" t="s">
        <v>13</v>
      </c>
      <c r="C37" s="2" t="s">
        <v>26</v>
      </c>
      <c r="D37" s="2" t="n">
        <v>33</v>
      </c>
      <c r="E37" s="3" t="n">
        <v>1980</v>
      </c>
      <c r="F37" s="2" t="s">
        <v>15</v>
      </c>
    </row>
    <row r="38" customFormat="false" ht="15" hidden="false" customHeight="false" outlineLevel="0" collapsed="false">
      <c r="A38" s="2" t="s">
        <v>16</v>
      </c>
      <c r="B38" s="2" t="s">
        <v>17</v>
      </c>
      <c r="C38" s="2" t="s">
        <v>26</v>
      </c>
      <c r="D38" s="2" t="n">
        <v>34</v>
      </c>
      <c r="E38" s="3" t="n">
        <v>1020</v>
      </c>
      <c r="F38" s="2" t="s">
        <v>18</v>
      </c>
    </row>
    <row r="39" customFormat="false" ht="15" hidden="false" customHeight="false" outlineLevel="0" collapsed="false">
      <c r="A39" s="2" t="s">
        <v>19</v>
      </c>
      <c r="B39" s="2" t="s">
        <v>17</v>
      </c>
      <c r="C39" s="2" t="s">
        <v>26</v>
      </c>
      <c r="D39" s="2" t="n">
        <v>33</v>
      </c>
      <c r="E39" s="3" t="n">
        <v>2640</v>
      </c>
      <c r="F39" s="2" t="s">
        <v>15</v>
      </c>
    </row>
    <row r="40" customFormat="false" ht="15" hidden="false" customHeight="false" outlineLevel="0" collapsed="false">
      <c r="A40" s="2" t="s">
        <v>20</v>
      </c>
      <c r="B40" s="2" t="s">
        <v>21</v>
      </c>
      <c r="C40" s="2" t="s">
        <v>26</v>
      </c>
      <c r="D40" s="2" t="n">
        <v>40</v>
      </c>
      <c r="E40" s="3" t="n">
        <v>1600</v>
      </c>
      <c r="F40" s="2" t="s">
        <v>11</v>
      </c>
    </row>
    <row r="41" customFormat="false" ht="15" hidden="false" customHeight="false" outlineLevel="0" collapsed="false">
      <c r="A41" s="2" t="s">
        <v>22</v>
      </c>
      <c r="B41" s="2" t="s">
        <v>21</v>
      </c>
      <c r="C41" s="2" t="s">
        <v>26</v>
      </c>
      <c r="D41" s="2" t="n">
        <v>45</v>
      </c>
      <c r="E41" s="3" t="n">
        <v>3150</v>
      </c>
      <c r="F41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4" t="s">
        <v>27</v>
      </c>
      <c r="B1" s="5"/>
      <c r="C1" s="5"/>
      <c r="D1" s="5"/>
      <c r="E1" s="4" t="s">
        <v>28</v>
      </c>
      <c r="F1" s="5"/>
    </row>
    <row r="2" customFormat="false" ht="15" hidden="false" customHeight="false" outlineLevel="0" collapsed="false">
      <c r="A2" s="6" t="s">
        <v>0</v>
      </c>
      <c r="B2" s="6" t="s">
        <v>29</v>
      </c>
      <c r="C2" s="6" t="s">
        <v>30</v>
      </c>
      <c r="D2" s="5"/>
      <c r="E2" s="5" t="s">
        <v>31</v>
      </c>
      <c r="F2" s="5" t="str">
        <f aca="false">INDEX($A$3:$A$10,MATCH(MAX($B$3:$B$10),$B$3:$B$10,0))</f>
        <v>Smart Watch</v>
      </c>
    </row>
    <row r="3" customFormat="false" ht="15" hidden="false" customHeight="false" outlineLevel="0" collapsed="false">
      <c r="A3" s="5" t="s">
        <v>6</v>
      </c>
      <c r="B3" s="7" t="n">
        <f aca="false">SUMIFS('Sales Data'!$E$2:$E$41,'Sales Data'!$A$2:$A$41,A3)</f>
        <v>12735</v>
      </c>
      <c r="C3" s="5" t="n">
        <f aca="false">SUMIFS('Sales Data'!$D$2:$D$41,'Sales Data'!$A$2:$A$41,A3)</f>
        <v>283</v>
      </c>
      <c r="D3" s="5"/>
      <c r="E3" s="5" t="s">
        <v>32</v>
      </c>
      <c r="F3" s="5" t="str">
        <f aca="false">INDEX($A$14:$A$17,MATCH(MAX($B$14:$B$17),$B$14:$B$17,0))</f>
        <v>Electronics</v>
      </c>
    </row>
    <row r="4" customFormat="false" ht="15" hidden="false" customHeight="false" outlineLevel="0" collapsed="false">
      <c r="A4" s="5" t="s">
        <v>10</v>
      </c>
      <c r="B4" s="7" t="n">
        <f aca="false">SUMIFS('Sales Data'!$E$2:$E$41,'Sales Data'!$A$2:$A$41,A4)</f>
        <v>20400</v>
      </c>
      <c r="C4" s="5" t="n">
        <f aca="false">SUMIFS('Sales Data'!$D$2:$D$41,'Sales Data'!$A$2:$A$41,A4)</f>
        <v>170</v>
      </c>
      <c r="D4" s="5"/>
      <c r="E4" s="5" t="s">
        <v>33</v>
      </c>
      <c r="F4" s="5" t="str">
        <f aca="false">INDEX($A$21:$A$25,MATCH(MAX($B$21:$B$25),$B$21:$B$25,0))</f>
        <v>Jan</v>
      </c>
    </row>
    <row r="5" customFormat="false" ht="15" hidden="false" customHeight="false" outlineLevel="0" collapsed="false">
      <c r="A5" s="5" t="s">
        <v>12</v>
      </c>
      <c r="B5" s="7" t="n">
        <f aca="false">SUMIFS('Sales Data'!$E$2:$E$41,'Sales Data'!$A$2:$A$41,A5)</f>
        <v>6200</v>
      </c>
      <c r="C5" s="5" t="n">
        <f aca="false">SUMIFS('Sales Data'!$D$2:$D$41,'Sales Data'!$A$2:$A$41,A5)</f>
        <v>248</v>
      </c>
      <c r="D5" s="5"/>
      <c r="E5" s="5" t="s">
        <v>34</v>
      </c>
      <c r="F5" s="5" t="str">
        <f aca="false">INDEX($A$29:$A$32,MATCH(MAX($B$29:$B$32),$B$29:$B$32,0))</f>
        <v>North</v>
      </c>
    </row>
    <row r="6" customFormat="false" ht="15" hidden="false" customHeight="false" outlineLevel="0" collapsed="false">
      <c r="A6" s="5" t="s">
        <v>14</v>
      </c>
      <c r="B6" s="7" t="n">
        <f aca="false">SUMIFS('Sales Data'!$E$2:$E$41,'Sales Data'!$A$2:$A$41,A6)</f>
        <v>9420</v>
      </c>
      <c r="C6" s="5" t="n">
        <f aca="false">SUMIFS('Sales Data'!$D$2:$D$41,'Sales Data'!$A$2:$A$41,A6)</f>
        <v>157</v>
      </c>
      <c r="D6" s="5"/>
      <c r="E6" s="5"/>
      <c r="F6" s="5"/>
    </row>
    <row r="7" customFormat="false" ht="15" hidden="false" customHeight="false" outlineLevel="0" collapsed="false">
      <c r="A7" s="5" t="s">
        <v>16</v>
      </c>
      <c r="B7" s="7" t="n">
        <f aca="false">SUMIFS('Sales Data'!$E$2:$E$41,'Sales Data'!$A$2:$A$41,A7)</f>
        <v>5040</v>
      </c>
      <c r="C7" s="5" t="n">
        <f aca="false">SUMIFS('Sales Data'!$D$2:$D$41,'Sales Data'!$A$2:$A$41,A7)</f>
        <v>168</v>
      </c>
      <c r="D7" s="5"/>
      <c r="E7" s="5" t="s">
        <v>29</v>
      </c>
      <c r="F7" s="7" t="n">
        <f aca="false">SUM('Sales Data'!E2:E41)</f>
        <v>93675</v>
      </c>
    </row>
    <row r="8" customFormat="false" ht="15" hidden="false" customHeight="false" outlineLevel="0" collapsed="false">
      <c r="A8" s="5" t="s">
        <v>19</v>
      </c>
      <c r="B8" s="7" t="n">
        <f aca="false">SUMIFS('Sales Data'!$E$2:$E$41,'Sales Data'!$A$2:$A$41,A8)</f>
        <v>15840</v>
      </c>
      <c r="C8" s="5" t="n">
        <f aca="false">SUMIFS('Sales Data'!$D$2:$D$41,'Sales Data'!$A$2:$A$41,A8)</f>
        <v>198</v>
      </c>
      <c r="D8" s="5"/>
      <c r="E8" s="5"/>
      <c r="F8" s="5"/>
    </row>
    <row r="9" customFormat="false" ht="15" hidden="false" customHeight="false" outlineLevel="0" collapsed="false">
      <c r="A9" s="5" t="s">
        <v>20</v>
      </c>
      <c r="B9" s="7" t="n">
        <f aca="false">SUMIFS('Sales Data'!$E$2:$E$41,'Sales Data'!$A$2:$A$41,A9)</f>
        <v>8920</v>
      </c>
      <c r="C9" s="5" t="n">
        <f aca="false">SUMIFS('Sales Data'!$D$2:$D$41,'Sales Data'!$A$2:$A$41,A9)</f>
        <v>223</v>
      </c>
      <c r="D9" s="5"/>
      <c r="E9" s="5"/>
      <c r="F9" s="5"/>
    </row>
    <row r="10" customFormat="false" ht="15" hidden="false" customHeight="false" outlineLevel="0" collapsed="false">
      <c r="A10" s="5" t="s">
        <v>22</v>
      </c>
      <c r="B10" s="7" t="n">
        <f aca="false">SUMIFS('Sales Data'!$E$2:$E$41,'Sales Data'!$A$2:$A$41,A10)</f>
        <v>15120</v>
      </c>
      <c r="C10" s="5" t="n">
        <f aca="false">SUMIFS('Sales Data'!$D$2:$D$41,'Sales Data'!$A$2:$A$41,A10)</f>
        <v>216</v>
      </c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2" customFormat="false" ht="15" hidden="false" customHeight="false" outlineLevel="0" collapsed="false">
      <c r="A12" s="4" t="s">
        <v>35</v>
      </c>
      <c r="B12" s="5"/>
      <c r="C12" s="5"/>
      <c r="D12" s="5"/>
      <c r="E12" s="5"/>
      <c r="F12" s="5"/>
    </row>
    <row r="13" customFormat="false" ht="15" hidden="false" customHeight="false" outlineLevel="0" collapsed="false">
      <c r="A13" s="6" t="s">
        <v>1</v>
      </c>
      <c r="B13" s="6" t="s">
        <v>29</v>
      </c>
      <c r="C13" s="6" t="s">
        <v>30</v>
      </c>
      <c r="D13" s="5"/>
      <c r="E13" s="5"/>
      <c r="F13" s="5"/>
    </row>
    <row r="14" customFormat="false" ht="15" hidden="false" customHeight="false" outlineLevel="0" collapsed="false">
      <c r="A14" s="5" t="s">
        <v>7</v>
      </c>
      <c r="B14" s="7" t="n">
        <f aca="false">SUMIFS('Sales Data'!$E$2:$E$41,'Sales Data'!$B$2:$B$41,A14)</f>
        <v>33135</v>
      </c>
      <c r="C14" s="5" t="n">
        <f aca="false">SUMIFS('Sales Data'!$D$2:$D$41,'Sales Data'!$B$2:$B$41,A14)</f>
        <v>453</v>
      </c>
      <c r="D14" s="5"/>
      <c r="E14" s="5"/>
      <c r="F14" s="5"/>
    </row>
    <row r="15" customFormat="false" ht="15" hidden="false" customHeight="false" outlineLevel="0" collapsed="false">
      <c r="A15" s="5" t="s">
        <v>13</v>
      </c>
      <c r="B15" s="7" t="n">
        <f aca="false">SUMIFS('Sales Data'!$E$2:$E$41,'Sales Data'!$B$2:$B$41,A15)</f>
        <v>15620</v>
      </c>
      <c r="C15" s="5" t="n">
        <f aca="false">SUMIFS('Sales Data'!$D$2:$D$41,'Sales Data'!$B$2:$B$41,A15)</f>
        <v>405</v>
      </c>
      <c r="D15" s="5"/>
      <c r="E15" s="5"/>
      <c r="F15" s="5"/>
    </row>
    <row r="16" customFormat="false" ht="15" hidden="false" customHeight="false" outlineLevel="0" collapsed="false">
      <c r="A16" s="5" t="s">
        <v>17</v>
      </c>
      <c r="B16" s="7" t="n">
        <f aca="false">SUMIFS('Sales Data'!$E$2:$E$41,'Sales Data'!$B$2:$B$41,A16)</f>
        <v>20880</v>
      </c>
      <c r="C16" s="5" t="n">
        <f aca="false">SUMIFS('Sales Data'!$D$2:$D$41,'Sales Data'!$B$2:$B$41,A16)</f>
        <v>366</v>
      </c>
      <c r="D16" s="5"/>
      <c r="E16" s="5"/>
      <c r="F16" s="5"/>
    </row>
    <row r="17" customFormat="false" ht="15" hidden="false" customHeight="false" outlineLevel="0" collapsed="false">
      <c r="A17" s="5" t="s">
        <v>21</v>
      </c>
      <c r="B17" s="7" t="n">
        <f aca="false">SUMIFS('Sales Data'!$E$2:$E$41,'Sales Data'!$B$2:$B$41,A17)</f>
        <v>24040</v>
      </c>
      <c r="C17" s="5" t="n">
        <f aca="false">SUMIFS('Sales Data'!$D$2:$D$41,'Sales Data'!$B$2:$B$41,A17)</f>
        <v>439</v>
      </c>
      <c r="D17" s="5"/>
      <c r="E17" s="5"/>
      <c r="F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</row>
    <row r="19" customFormat="false" ht="15" hidden="false" customHeight="false" outlineLevel="0" collapsed="false">
      <c r="A19" s="4" t="s">
        <v>36</v>
      </c>
      <c r="B19" s="5"/>
      <c r="C19" s="5"/>
      <c r="D19" s="5"/>
      <c r="E19" s="5"/>
      <c r="F19" s="5"/>
    </row>
    <row r="20" customFormat="false" ht="15" hidden="false" customHeight="false" outlineLevel="0" collapsed="false">
      <c r="A20" s="6" t="s">
        <v>2</v>
      </c>
      <c r="B20" s="6" t="s">
        <v>29</v>
      </c>
      <c r="C20" s="6" t="s">
        <v>30</v>
      </c>
      <c r="D20" s="5"/>
      <c r="E20" s="5"/>
      <c r="F20" s="5"/>
    </row>
    <row r="21" customFormat="false" ht="15" hidden="false" customHeight="false" outlineLevel="0" collapsed="false">
      <c r="A21" s="5" t="s">
        <v>8</v>
      </c>
      <c r="B21" s="7" t="n">
        <f aca="false">SUMIFS('Sales Data'!$E$2:$E$41,'Sales Data'!$C$2:$C$41,A21)</f>
        <v>21340</v>
      </c>
      <c r="C21" s="5" t="n">
        <f aca="false">SUMIFS('Sales Data'!$D$2:$D$41,'Sales Data'!$C$2:$C$41,A21)</f>
        <v>369</v>
      </c>
      <c r="D21" s="5"/>
      <c r="E21" s="5"/>
      <c r="F21" s="5"/>
    </row>
    <row r="22" customFormat="false" ht="15" hidden="false" customHeight="false" outlineLevel="0" collapsed="false">
      <c r="A22" s="5" t="s">
        <v>23</v>
      </c>
      <c r="B22" s="7" t="n">
        <f aca="false">SUMIFS('Sales Data'!$E$2:$E$41,'Sales Data'!$C$2:$C$41,A22)</f>
        <v>18675</v>
      </c>
      <c r="C22" s="5" t="n">
        <f aca="false">SUMIFS('Sales Data'!$D$2:$D$41,'Sales Data'!$C$2:$C$41,A22)</f>
        <v>331</v>
      </c>
      <c r="D22" s="5"/>
      <c r="E22" s="5"/>
      <c r="F22" s="5"/>
    </row>
    <row r="23" customFormat="false" ht="15" hidden="false" customHeight="false" outlineLevel="0" collapsed="false">
      <c r="A23" s="5" t="s">
        <v>24</v>
      </c>
      <c r="B23" s="7" t="n">
        <f aca="false">SUMIFS('Sales Data'!$E$2:$E$41,'Sales Data'!$C$2:$C$41,A23)</f>
        <v>19555</v>
      </c>
      <c r="C23" s="5" t="n">
        <f aca="false">SUMIFS('Sales Data'!$D$2:$D$41,'Sales Data'!$C$2:$C$41,A23)</f>
        <v>334</v>
      </c>
      <c r="D23" s="5"/>
      <c r="E23" s="5"/>
      <c r="F23" s="5"/>
    </row>
    <row r="24" customFormat="false" ht="15" hidden="false" customHeight="false" outlineLevel="0" collapsed="false">
      <c r="A24" s="5" t="s">
        <v>25</v>
      </c>
      <c r="B24" s="7" t="n">
        <f aca="false">SUMIFS('Sales Data'!$E$2:$E$41,'Sales Data'!$C$2:$C$41,A24)</f>
        <v>16705</v>
      </c>
      <c r="C24" s="5" t="n">
        <f aca="false">SUMIFS('Sales Data'!$D$2:$D$41,'Sales Data'!$C$2:$C$41,A24)</f>
        <v>306</v>
      </c>
      <c r="D24" s="5"/>
      <c r="E24" s="5"/>
      <c r="F24" s="5"/>
    </row>
    <row r="25" customFormat="false" ht="15" hidden="false" customHeight="false" outlineLevel="0" collapsed="false">
      <c r="A25" s="5" t="s">
        <v>26</v>
      </c>
      <c r="B25" s="7" t="n">
        <f aca="false">SUMIFS('Sales Data'!$E$2:$E$41,'Sales Data'!$C$2:$C$41,A25)</f>
        <v>17400</v>
      </c>
      <c r="C25" s="5" t="n">
        <f aca="false">SUMIFS('Sales Data'!$D$2:$D$41,'Sales Data'!$C$2:$C$41,A25)</f>
        <v>323</v>
      </c>
      <c r="D25" s="5"/>
      <c r="E25" s="5"/>
      <c r="F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</row>
    <row r="27" customFormat="false" ht="15" hidden="false" customHeight="false" outlineLevel="0" collapsed="false">
      <c r="A27" s="4" t="s">
        <v>37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6" t="s">
        <v>5</v>
      </c>
      <c r="B28" s="6" t="s">
        <v>29</v>
      </c>
      <c r="C28" s="6" t="s">
        <v>30</v>
      </c>
      <c r="D28" s="5"/>
      <c r="E28" s="5"/>
      <c r="F28" s="5"/>
    </row>
    <row r="29" customFormat="false" ht="15" hidden="false" customHeight="false" outlineLevel="0" collapsed="false">
      <c r="A29" s="5" t="s">
        <v>15</v>
      </c>
      <c r="B29" s="7" t="n">
        <f aca="false">SUMIFS('Sales Data'!$E$2:$E$41,'Sales Data'!$F$2:$F$41,A29)</f>
        <v>30045</v>
      </c>
      <c r="C29" s="5" t="n">
        <f aca="false">SUMIFS('Sales Data'!$D$2:$D$41,'Sales Data'!$F$2:$F$41,A29)</f>
        <v>494</v>
      </c>
      <c r="D29" s="5"/>
      <c r="E29" s="5"/>
      <c r="F29" s="5"/>
    </row>
    <row r="30" customFormat="false" ht="15" hidden="false" customHeight="false" outlineLevel="0" collapsed="false">
      <c r="A30" s="5" t="s">
        <v>18</v>
      </c>
      <c r="B30" s="7" t="n">
        <f aca="false">SUMIFS('Sales Data'!$E$2:$E$41,'Sales Data'!$F$2:$F$41,A30)</f>
        <v>16040</v>
      </c>
      <c r="C30" s="5" t="n">
        <f aca="false">SUMIFS('Sales Data'!$D$2:$D$41,'Sales Data'!$F$2:$F$41,A30)</f>
        <v>342</v>
      </c>
      <c r="D30" s="5"/>
      <c r="E30" s="5"/>
      <c r="F30" s="5"/>
    </row>
    <row r="31" customFormat="false" ht="15" hidden="false" customHeight="false" outlineLevel="0" collapsed="false">
      <c r="A31" s="5" t="s">
        <v>9</v>
      </c>
      <c r="B31" s="7" t="n">
        <f aca="false">SUMIFS('Sales Data'!$E$2:$E$41,'Sales Data'!$F$2:$F$41,A31)</f>
        <v>20120</v>
      </c>
      <c r="C31" s="5" t="n">
        <f aca="false">SUMIFS('Sales Data'!$D$2:$D$41,'Sales Data'!$F$2:$F$41,A31)</f>
        <v>414</v>
      </c>
      <c r="D31" s="5"/>
      <c r="E31" s="5"/>
      <c r="F31" s="5"/>
    </row>
    <row r="32" customFormat="false" ht="15" hidden="false" customHeight="false" outlineLevel="0" collapsed="false">
      <c r="A32" s="5" t="s">
        <v>11</v>
      </c>
      <c r="B32" s="7" t="n">
        <f aca="false">SUMIFS('Sales Data'!$E$2:$E$41,'Sales Data'!$F$2:$F$41,A32)</f>
        <v>27470</v>
      </c>
      <c r="C32" s="5" t="n">
        <f aca="false">SUMIFS('Sales Data'!$D$2:$D$41,'Sales Data'!$F$2:$F$41,A32)</f>
        <v>413</v>
      </c>
      <c r="D32" s="5"/>
      <c r="E32" s="5"/>
      <c r="F3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2026-10-20T15:03:59Z</dcterms:created>
  <dc:creator>openpyxl</dc:creator>
  <dc:description/>
  <dc:language>en-US</dc:language>
  <cp:lastModifiedBy/>
  <dcterms:modified xsi:type="dcterms:W3CDTF">2026-10-20T15:04:01Z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